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vdre\OneDrive\Documents\ImportantCollegeDocuments\HonorsThesis\HonorsThesis\"/>
    </mc:Choice>
  </mc:AlternateContent>
  <xr:revisionPtr revIDLastSave="0" documentId="13_ncr:1_{F066943D-4C4D-4B9B-B7BB-298A20A268EB}" xr6:coauthVersionLast="47" xr6:coauthVersionMax="47" xr10:uidLastSave="{00000000-0000-0000-0000-000000000000}"/>
  <bookViews>
    <workbookView xWindow="-96" yWindow="-96" windowWidth="23232" windowHeight="13152" xr2:uid="{473B66B4-7446-4317-AED3-2A758005BC23}"/>
  </bookViews>
  <sheets>
    <sheet name="cflengthResults" sheetId="1" r:id="rId1"/>
  </sheets>
  <calcPr calcId="181029"/>
</workbook>
</file>

<file path=xl/calcChain.xml><?xml version="1.0" encoding="utf-8"?>
<calcChain xmlns="http://schemas.openxmlformats.org/spreadsheetml/2006/main">
  <c r="F119" i="1" l="1"/>
  <c r="F118" i="1"/>
  <c r="F117" i="1"/>
  <c r="F116" i="1"/>
  <c r="F115" i="1"/>
  <c r="F114" i="1"/>
  <c r="F113" i="1"/>
  <c r="F112" i="1"/>
  <c r="F111" i="1"/>
  <c r="F108" i="1"/>
  <c r="F107" i="1"/>
  <c r="F106" i="1"/>
  <c r="F105" i="1"/>
  <c r="F104" i="1"/>
  <c r="F103" i="1"/>
  <c r="F102" i="1"/>
  <c r="F101" i="1"/>
  <c r="F100" i="1"/>
  <c r="F97" i="1"/>
  <c r="F96" i="1"/>
  <c r="F95" i="1"/>
  <c r="F94" i="1"/>
  <c r="F93" i="1"/>
  <c r="F92" i="1"/>
  <c r="F91" i="1"/>
  <c r="F90" i="1"/>
  <c r="F89" i="1"/>
  <c r="F85" i="1"/>
  <c r="F84" i="1"/>
  <c r="F83" i="1"/>
  <c r="F82" i="1"/>
  <c r="F81" i="1"/>
  <c r="F80" i="1"/>
  <c r="F79" i="1"/>
  <c r="F78" i="1"/>
  <c r="F77" i="1"/>
  <c r="F36" i="1"/>
  <c r="F37" i="1"/>
  <c r="F38" i="1"/>
  <c r="F39" i="1"/>
  <c r="F40" i="1"/>
  <c r="F41" i="1"/>
  <c r="F42" i="1"/>
  <c r="F43" i="1"/>
  <c r="F44" i="1"/>
  <c r="N54" i="1"/>
  <c r="N55" i="1"/>
  <c r="N56" i="1"/>
  <c r="N57" i="1"/>
  <c r="N58" i="1"/>
  <c r="N59" i="1"/>
  <c r="N60" i="1"/>
  <c r="N61" i="1"/>
  <c r="N53" i="1"/>
</calcChain>
</file>

<file path=xl/sharedStrings.xml><?xml version="1.0" encoding="utf-8"?>
<sst xmlns="http://schemas.openxmlformats.org/spreadsheetml/2006/main" count="53" uniqueCount="30">
  <si>
    <t>length</t>
  </si>
  <si>
    <t>cfnum</t>
  </si>
  <si>
    <t>sec</t>
  </si>
  <si>
    <t>sampleSize</t>
  </si>
  <si>
    <t>seed</t>
  </si>
  <si>
    <t>N/A</t>
  </si>
  <si>
    <t>?</t>
  </si>
  <si>
    <t>avgfs</t>
  </si>
  <si>
    <t>w/ tie</t>
  </si>
  <si>
    <t>w/o tie</t>
  </si>
  <si>
    <t>tie/notie</t>
  </si>
  <si>
    <t>starting1</t>
  </si>
  <si>
    <t>starting3</t>
  </si>
  <si>
    <t>starting5</t>
  </si>
  <si>
    <t xml:space="preserve">length </t>
  </si>
  <si>
    <t>zero leaps</t>
  </si>
  <si>
    <t>one leap</t>
  </si>
  <si>
    <t>three leaps</t>
  </si>
  <si>
    <t>two leaps</t>
  </si>
  <si>
    <t>four leaps</t>
  </si>
  <si>
    <t>five leaps</t>
  </si>
  <si>
    <t>six leaps</t>
  </si>
  <si>
    <t>FOR Leap0</t>
  </si>
  <si>
    <t>FOR Leap1</t>
  </si>
  <si>
    <t>Leap2</t>
  </si>
  <si>
    <t>Leap3</t>
  </si>
  <si>
    <t>0 leaps</t>
  </si>
  <si>
    <t>1 leap</t>
  </si>
  <si>
    <t>2 leaps</t>
  </si>
  <si>
    <t>3 leaps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</si>
</sst>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3" fillId="33" borderId="10" xfId="0" applyFont="1" applyFill="1" applyBorder="1"/>
    <xf numFmtId="0" fontId="0" fillId="34" borderId="10" xfId="0" applyFont="1" applyFill="1" applyBorder="1"/>
    <xf numFmtId="0" fontId="0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cflengthResults!$B$1</c:f>
              <c:strCache>
                <c:ptCount val="1"/>
                <c:pt idx="0">
                  <c:v>cfnum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cflengthResults!$A$2:$A$10</c:f>
              <c:numCache>
                <c:formatCode>General</c:formatCode>
                <c:ptCount val="9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</c:numCache>
            </c:numRef>
          </c:xVal>
          <c:yVal>
            <c:numRef>
              <c:f>cflengthResults!$B$2:$B$10</c:f>
              <c:numCache>
                <c:formatCode>General</c:formatCode>
                <c:ptCount val="9"/>
                <c:pt idx="0">
                  <c:v>1854</c:v>
                </c:pt>
                <c:pt idx="1">
                  <c:v>8311</c:v>
                </c:pt>
                <c:pt idx="2">
                  <c:v>36123</c:v>
                </c:pt>
                <c:pt idx="3">
                  <c:v>157974</c:v>
                </c:pt>
                <c:pt idx="4">
                  <c:v>679930</c:v>
                </c:pt>
                <c:pt idx="5">
                  <c:v>2912744</c:v>
                </c:pt>
                <c:pt idx="6">
                  <c:v>12364068</c:v>
                </c:pt>
                <c:pt idx="7">
                  <c:v>52207488</c:v>
                </c:pt>
                <c:pt idx="8">
                  <c:v>219142399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98-42A8-9577-F372E0E86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889664"/>
        <c:axId val="1130888704"/>
      </c:scatterChart>
      <c:valAx>
        <c:axId val="1130889664"/>
        <c:scaling>
          <c:orientation val="minMax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Melody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888704"/>
        <c:crosses val="autoZero"/>
        <c:crossBetween val="midCat"/>
      </c:valAx>
      <c:valAx>
        <c:axId val="113088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Valid</a:t>
                </a:r>
                <a:r>
                  <a:rPr lang="en-US" baseline="0"/>
                  <a:t> Cantus Firmi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88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cflengthResults!$C$20</c:f>
              <c:strCache>
                <c:ptCount val="1"/>
                <c:pt idx="0">
                  <c:v>avgfs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cflengthResults!$B$21:$B$29</c:f>
              <c:numCache>
                <c:formatCode>General</c:formatCode>
                <c:ptCount val="9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</c:numCache>
            </c:numRef>
          </c:xVal>
          <c:yVal>
            <c:numRef>
              <c:f>cflengthResults!$C$21:$C$29</c:f>
              <c:numCache>
                <c:formatCode>General</c:formatCode>
                <c:ptCount val="9"/>
                <c:pt idx="0">
                  <c:v>182.323624595469</c:v>
                </c:pt>
                <c:pt idx="1">
                  <c:v>398.88799999999998</c:v>
                </c:pt>
                <c:pt idx="2">
                  <c:v>923.05200000000002</c:v>
                </c:pt>
                <c:pt idx="3">
                  <c:v>2084.1610000000001</c:v>
                </c:pt>
                <c:pt idx="4">
                  <c:v>4560.9089999999997</c:v>
                </c:pt>
                <c:pt idx="5">
                  <c:v>9984.0390000000007</c:v>
                </c:pt>
                <c:pt idx="6">
                  <c:v>22480.863000000001</c:v>
                </c:pt>
                <c:pt idx="7">
                  <c:v>47616.252</c:v>
                </c:pt>
                <c:pt idx="8">
                  <c:v>104986.647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17-4791-8AF6-BA6BE21C6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51696"/>
        <c:axId val="116468976"/>
      </c:scatterChart>
      <c:valAx>
        <c:axId val="116451696"/>
        <c:scaling>
          <c:orientation val="minMax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Melody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68976"/>
        <c:crosses val="autoZero"/>
        <c:crossBetween val="midCat"/>
      </c:valAx>
      <c:valAx>
        <c:axId val="11646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Number</a:t>
                </a:r>
                <a:r>
                  <a:rPr lang="en-US" baseline="0"/>
                  <a:t> of Valid First Species Counterpoints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5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cflengthResults!$C$35</c:f>
              <c:strCache>
                <c:ptCount val="1"/>
                <c:pt idx="0">
                  <c:v>w/ tie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cflengthResults!$B$36:$B$44</c:f>
              <c:numCache>
                <c:formatCode>General</c:formatCode>
                <c:ptCount val="9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</c:numCache>
            </c:numRef>
          </c:xVal>
          <c:yVal>
            <c:numRef>
              <c:f>cflengthResults!$C$36:$C$44</c:f>
              <c:numCache>
                <c:formatCode>General</c:formatCode>
                <c:ptCount val="9"/>
                <c:pt idx="0">
                  <c:v>123.048004314994</c:v>
                </c:pt>
                <c:pt idx="1">
                  <c:v>294.108</c:v>
                </c:pt>
                <c:pt idx="2">
                  <c:v>709.50300000000004</c:v>
                </c:pt>
                <c:pt idx="3">
                  <c:v>1658.35</c:v>
                </c:pt>
                <c:pt idx="4">
                  <c:v>3787.7979999999998</c:v>
                </c:pt>
                <c:pt idx="5">
                  <c:v>8532.32</c:v>
                </c:pt>
                <c:pt idx="6">
                  <c:v>19664.559000000001</c:v>
                </c:pt>
                <c:pt idx="7">
                  <c:v>42203.512000000002</c:v>
                </c:pt>
                <c:pt idx="8">
                  <c:v>95243.660999999993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CB-4346-9A13-04A810974C42}"/>
            </c:ext>
          </c:extLst>
        </c:ser>
        <c:ser>
          <c:idx val="1"/>
          <c:order val="1"/>
          <c:tx>
            <c:strRef>
              <c:f>cflengthResults!$D$35</c:f>
              <c:strCache>
                <c:ptCount val="1"/>
                <c:pt idx="0">
                  <c:v>w/o tie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cflengthResults!$B$36:$B$44</c:f>
              <c:numCache>
                <c:formatCode>General</c:formatCode>
                <c:ptCount val="9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</c:numCache>
            </c:numRef>
          </c:xVal>
          <c:yVal>
            <c:numRef>
              <c:f>cflengthResults!$D$36:$D$44</c:f>
              <c:numCache>
                <c:formatCode>General</c:formatCode>
                <c:ptCount val="9"/>
                <c:pt idx="0">
                  <c:v>59.275620280474598</c:v>
                </c:pt>
                <c:pt idx="1">
                  <c:v>104.78</c:v>
                </c:pt>
                <c:pt idx="2">
                  <c:v>213.54900000000001</c:v>
                </c:pt>
                <c:pt idx="3">
                  <c:v>425.81099999999998</c:v>
                </c:pt>
                <c:pt idx="4">
                  <c:v>773.11099999999999</c:v>
                </c:pt>
                <c:pt idx="5">
                  <c:v>1451.7190000000001</c:v>
                </c:pt>
                <c:pt idx="6">
                  <c:v>2816.3040000000001</c:v>
                </c:pt>
                <c:pt idx="7">
                  <c:v>5412.74</c:v>
                </c:pt>
                <c:pt idx="8">
                  <c:v>9742.9860000000008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CB-4346-9A13-04A810974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199088"/>
        <c:axId val="1247204368"/>
      </c:scatterChart>
      <c:valAx>
        <c:axId val="1247199088"/>
        <c:scaling>
          <c:orientation val="minMax"/>
          <c:min val="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Melody</a:t>
                </a:r>
                <a:r>
                  <a:rPr lang="en-US" baseline="0"/>
                  <a:t> Length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204368"/>
        <c:crosses val="autoZero"/>
        <c:crossBetween val="midCat"/>
      </c:valAx>
      <c:valAx>
        <c:axId val="124720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Number of Valid First Species Counterpoints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199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cflengthResults!$F$35</c:f>
              <c:strCache>
                <c:ptCount val="1"/>
                <c:pt idx="0">
                  <c:v>tie/notie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cflengthResults!$B$36:$B$44</c:f>
              <c:numCache>
                <c:formatCode>General</c:formatCode>
                <c:ptCount val="9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</c:numCache>
            </c:numRef>
          </c:xVal>
          <c:yVal>
            <c:numRef>
              <c:f>cflengthResults!$F$36:$F$44</c:f>
              <c:numCache>
                <c:formatCode>General</c:formatCode>
                <c:ptCount val="9"/>
                <c:pt idx="0">
                  <c:v>2.0758619434561369</c:v>
                </c:pt>
                <c:pt idx="1">
                  <c:v>2.8069097155945792</c:v>
                </c:pt>
                <c:pt idx="2">
                  <c:v>3.3224365368135653</c:v>
                </c:pt>
                <c:pt idx="3">
                  <c:v>3.894568247414933</c:v>
                </c:pt>
                <c:pt idx="4">
                  <c:v>4.8994232393537276</c:v>
                </c:pt>
                <c:pt idx="5">
                  <c:v>5.8773908724760089</c:v>
                </c:pt>
                <c:pt idx="6">
                  <c:v>6.9823992722376564</c:v>
                </c:pt>
                <c:pt idx="7">
                  <c:v>7.7970698758854118</c:v>
                </c:pt>
                <c:pt idx="8">
                  <c:v>9.7756130410122708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B7-41D2-A609-165193314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894464"/>
        <c:axId val="1130895424"/>
      </c:scatterChart>
      <c:valAx>
        <c:axId val="1130894464"/>
        <c:scaling>
          <c:orientation val="minMax"/>
          <c:min val="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Melody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895424"/>
        <c:crosses val="autoZero"/>
        <c:crossBetween val="midCat"/>
      </c:valAx>
      <c:valAx>
        <c:axId val="113089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w</a:t>
                </a:r>
                <a:r>
                  <a:rPr lang="en-US" baseline="0"/>
                  <a:t>ith tie / average without tie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894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cflengthResults!$K$52</c:f>
              <c:strCache>
                <c:ptCount val="1"/>
                <c:pt idx="0">
                  <c:v>starting1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cflengthResults!$J$53:$J$61</c:f>
              <c:numCache>
                <c:formatCode>General</c:formatCode>
                <c:ptCount val="9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</c:numCache>
            </c:numRef>
          </c:xVal>
          <c:yVal>
            <c:numRef>
              <c:f>cflengthResults!$K$53:$K$61</c:f>
              <c:numCache>
                <c:formatCode>General</c:formatCode>
                <c:ptCount val="9"/>
                <c:pt idx="0">
                  <c:v>48.855447680690297</c:v>
                </c:pt>
                <c:pt idx="1">
                  <c:v>103.27800000000001</c:v>
                </c:pt>
                <c:pt idx="2">
                  <c:v>239.59899999999999</c:v>
                </c:pt>
                <c:pt idx="3">
                  <c:v>530.13699999999994</c:v>
                </c:pt>
                <c:pt idx="4">
                  <c:v>1157.556</c:v>
                </c:pt>
                <c:pt idx="5">
                  <c:v>2432.2260000000001</c:v>
                </c:pt>
                <c:pt idx="6">
                  <c:v>5476.4930000000004</c:v>
                </c:pt>
                <c:pt idx="7">
                  <c:v>11410.272999999999</c:v>
                </c:pt>
                <c:pt idx="8">
                  <c:v>24802.953000000001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E6-43D6-80E2-9A3CEC48B2B0}"/>
            </c:ext>
          </c:extLst>
        </c:ser>
        <c:ser>
          <c:idx val="1"/>
          <c:order val="1"/>
          <c:tx>
            <c:strRef>
              <c:f>cflengthResults!$L$52</c:f>
              <c:strCache>
                <c:ptCount val="1"/>
                <c:pt idx="0">
                  <c:v>starting3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cflengthResults!$J$53:$J$61</c:f>
              <c:numCache>
                <c:formatCode>General</c:formatCode>
                <c:ptCount val="9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</c:numCache>
            </c:numRef>
          </c:xVal>
          <c:yVal>
            <c:numRef>
              <c:f>cflengthResults!$L$53:$L$61</c:f>
              <c:numCache>
                <c:formatCode>General</c:formatCode>
                <c:ptCount val="9"/>
                <c:pt idx="0">
                  <c:v>67.040992448759397</c:v>
                </c:pt>
                <c:pt idx="1">
                  <c:v>147.167</c:v>
                </c:pt>
                <c:pt idx="2">
                  <c:v>338.08699999999999</c:v>
                </c:pt>
                <c:pt idx="3">
                  <c:v>765.79700000000003</c:v>
                </c:pt>
                <c:pt idx="4">
                  <c:v>1667.0540000000001</c:v>
                </c:pt>
                <c:pt idx="5">
                  <c:v>3669.6790000000001</c:v>
                </c:pt>
                <c:pt idx="6">
                  <c:v>8183.5990000000002</c:v>
                </c:pt>
                <c:pt idx="7">
                  <c:v>17333.606</c:v>
                </c:pt>
                <c:pt idx="8">
                  <c:v>38569.572999999997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E6-43D6-80E2-9A3CEC48B2B0}"/>
            </c:ext>
          </c:extLst>
        </c:ser>
        <c:ser>
          <c:idx val="2"/>
          <c:order val="2"/>
          <c:tx>
            <c:strRef>
              <c:f>cflengthResults!$M$52</c:f>
              <c:strCache>
                <c:ptCount val="1"/>
                <c:pt idx="0">
                  <c:v>starting5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cflengthResults!$J$53:$J$61</c:f>
              <c:numCache>
                <c:formatCode>General</c:formatCode>
                <c:ptCount val="9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</c:numCache>
            </c:numRef>
          </c:xVal>
          <c:yVal>
            <c:numRef>
              <c:f>cflengthResults!$M$53:$M$61</c:f>
              <c:numCache>
                <c:formatCode>General</c:formatCode>
                <c:ptCount val="9"/>
                <c:pt idx="0">
                  <c:v>66.427184466019398</c:v>
                </c:pt>
                <c:pt idx="1">
                  <c:v>148.44300000000001</c:v>
                </c:pt>
                <c:pt idx="2">
                  <c:v>345.36599999999999</c:v>
                </c:pt>
                <c:pt idx="3">
                  <c:v>788.22699999999998</c:v>
                </c:pt>
                <c:pt idx="4">
                  <c:v>1736.299</c:v>
                </c:pt>
                <c:pt idx="5">
                  <c:v>3882.134</c:v>
                </c:pt>
                <c:pt idx="6">
                  <c:v>8820.7710000000006</c:v>
                </c:pt>
                <c:pt idx="7">
                  <c:v>18872.373</c:v>
                </c:pt>
                <c:pt idx="8">
                  <c:v>41614.120999999999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E6-43D6-80E2-9A3CEC48B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901199"/>
        <c:axId val="997901679"/>
      </c:scatterChart>
      <c:valAx>
        <c:axId val="997901199"/>
        <c:scaling>
          <c:orientation val="minMax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Melody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901679"/>
        <c:crosses val="autoZero"/>
        <c:crossBetween val="midCat"/>
      </c:valAx>
      <c:valAx>
        <c:axId val="99790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Number</a:t>
                </a:r>
                <a:r>
                  <a:rPr lang="en-US" baseline="0"/>
                  <a:t> of Valid First Species Counterpoints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901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cflengthResults!$C$64</c:f>
              <c:strCache>
                <c:ptCount val="1"/>
                <c:pt idx="0">
                  <c:v>zero leaps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cflengthResults!$B$65:$B$73</c:f>
              <c:numCache>
                <c:formatCode>General</c:formatCode>
                <c:ptCount val="9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</c:numCache>
            </c:numRef>
          </c:xVal>
          <c:yVal>
            <c:numRef>
              <c:f>cflengthResults!$C$65:$C$73</c:f>
              <c:numCache>
                <c:formatCode>General</c:formatCode>
                <c:ptCount val="9"/>
                <c:pt idx="0">
                  <c:v>229.921417565485</c:v>
                </c:pt>
                <c:pt idx="1">
                  <c:v>526.58762886597901</c:v>
                </c:pt>
                <c:pt idx="2">
                  <c:v>1245.95323741007</c:v>
                </c:pt>
                <c:pt idx="3">
                  <c:v>2840.3162393162302</c:v>
                </c:pt>
                <c:pt idx="4">
                  <c:v>6509.9465240641703</c:v>
                </c:pt>
                <c:pt idx="5">
                  <c:v>14902.7261904761</c:v>
                </c:pt>
                <c:pt idx="6">
                  <c:v>32021.664516129</c:v>
                </c:pt>
                <c:pt idx="7">
                  <c:v>72417.8984375</c:v>
                </c:pt>
                <c:pt idx="8">
                  <c:v>163410.87401574801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6A-4A05-8359-5F4323370CFA}"/>
            </c:ext>
          </c:extLst>
        </c:ser>
        <c:ser>
          <c:idx val="1"/>
          <c:order val="1"/>
          <c:tx>
            <c:strRef>
              <c:f>cflengthResults!$D$64</c:f>
              <c:strCache>
                <c:ptCount val="1"/>
                <c:pt idx="0">
                  <c:v>one leap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cflengthResults!$B$65:$B$73</c:f>
              <c:numCache>
                <c:formatCode>General</c:formatCode>
                <c:ptCount val="9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</c:numCache>
            </c:numRef>
          </c:xVal>
          <c:yVal>
            <c:numRef>
              <c:f>cflengthResults!$D$65:$D$73</c:f>
              <c:numCache>
                <c:formatCode>General</c:formatCode>
                <c:ptCount val="9"/>
                <c:pt idx="0">
                  <c:v>178.26410256410199</c:v>
                </c:pt>
                <c:pt idx="1">
                  <c:v>404.75438596491199</c:v>
                </c:pt>
                <c:pt idx="2">
                  <c:v>940.73157894736801</c:v>
                </c:pt>
                <c:pt idx="3">
                  <c:v>2178.7704485488098</c:v>
                </c:pt>
                <c:pt idx="4">
                  <c:v>4886.0488997555003</c:v>
                </c:pt>
                <c:pt idx="5">
                  <c:v>10852.8997429305</c:v>
                </c:pt>
                <c:pt idx="6">
                  <c:v>25750.208672086701</c:v>
                </c:pt>
                <c:pt idx="7">
                  <c:v>55203.823353293403</c:v>
                </c:pt>
                <c:pt idx="8">
                  <c:v>126189.94303797399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6A-4A05-8359-5F4323370CFA}"/>
            </c:ext>
          </c:extLst>
        </c:ser>
        <c:ser>
          <c:idx val="2"/>
          <c:order val="2"/>
          <c:tx>
            <c:strRef>
              <c:f>cflengthResults!$E$64</c:f>
              <c:strCache>
                <c:ptCount val="1"/>
                <c:pt idx="0">
                  <c:v>two leaps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cflengthResults!$B$65:$B$73</c:f>
              <c:numCache>
                <c:formatCode>General</c:formatCode>
                <c:ptCount val="9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</c:numCache>
            </c:numRef>
          </c:xVal>
          <c:yVal>
            <c:numRef>
              <c:f>cflengthResults!$E$65:$E$73</c:f>
              <c:numCache>
                <c:formatCode>General</c:formatCode>
                <c:ptCount val="9"/>
                <c:pt idx="0">
                  <c:v>119.772959183673</c:v>
                </c:pt>
                <c:pt idx="1">
                  <c:v>284.68679245282999</c:v>
                </c:pt>
                <c:pt idx="2">
                  <c:v>671.46853146853095</c:v>
                </c:pt>
                <c:pt idx="3">
                  <c:v>1642.3333333333301</c:v>
                </c:pt>
                <c:pt idx="4">
                  <c:v>3631.0894039735099</c:v>
                </c:pt>
                <c:pt idx="5">
                  <c:v>7876.2578616352203</c:v>
                </c:pt>
                <c:pt idx="6">
                  <c:v>18818.7196261682</c:v>
                </c:pt>
                <c:pt idx="7">
                  <c:v>41066.719101123599</c:v>
                </c:pt>
                <c:pt idx="8">
                  <c:v>94180.675925925898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6A-4A05-8359-5F4323370CFA}"/>
            </c:ext>
          </c:extLst>
        </c:ser>
        <c:ser>
          <c:idx val="3"/>
          <c:order val="3"/>
          <c:tx>
            <c:strRef>
              <c:f>cflengthResults!$F$64</c:f>
              <c:strCache>
                <c:ptCount val="1"/>
                <c:pt idx="0">
                  <c:v>three leaps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cflengthResults!$B$65:$B$73</c:f>
              <c:numCache>
                <c:formatCode>General</c:formatCode>
                <c:ptCount val="9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</c:numCache>
            </c:numRef>
          </c:xVal>
          <c:yVal>
            <c:numRef>
              <c:f>cflengthResults!$F$65:$F$73</c:f>
              <c:numCache>
                <c:formatCode>General</c:formatCode>
                <c:ptCount val="9"/>
                <c:pt idx="0">
                  <c:v>85.212121212121204</c:v>
                </c:pt>
                <c:pt idx="1">
                  <c:v>193.6</c:v>
                </c:pt>
                <c:pt idx="2">
                  <c:v>486.636363636363</c:v>
                </c:pt>
                <c:pt idx="3">
                  <c:v>1155.85915492957</c:v>
                </c:pt>
                <c:pt idx="4">
                  <c:v>2552.4597701149401</c:v>
                </c:pt>
                <c:pt idx="5">
                  <c:v>6333.7358490566003</c:v>
                </c:pt>
                <c:pt idx="6">
                  <c:v>13394.1076923076</c:v>
                </c:pt>
                <c:pt idx="7">
                  <c:v>32019.628787878701</c:v>
                </c:pt>
                <c:pt idx="8">
                  <c:v>67127.469512195094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6A-4A05-8359-5F4323370CFA}"/>
            </c:ext>
          </c:extLst>
        </c:ser>
        <c:ser>
          <c:idx val="4"/>
          <c:order val="4"/>
          <c:tx>
            <c:strRef>
              <c:f>cflengthResults!$G$64</c:f>
              <c:strCache>
                <c:ptCount val="1"/>
                <c:pt idx="0">
                  <c:v>four leaps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cflengthResults!$B$65:$B$73</c:f>
              <c:numCache>
                <c:formatCode>General</c:formatCode>
                <c:ptCount val="9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</c:numCache>
            </c:numRef>
          </c:xVal>
          <c:yVal>
            <c:numRef>
              <c:f>cflengthResults!$G$65:$G$73</c:f>
              <c:numCache>
                <c:formatCode>General</c:formatCode>
                <c:ptCount val="9"/>
                <c:pt idx="2">
                  <c:v>394</c:v>
                </c:pt>
                <c:pt idx="3">
                  <c:v>603.71428571428498</c:v>
                </c:pt>
                <c:pt idx="4">
                  <c:v>1766.8</c:v>
                </c:pt>
                <c:pt idx="5">
                  <c:v>4502.5555555555502</c:v>
                </c:pt>
                <c:pt idx="6">
                  <c:v>10124.9545454545</c:v>
                </c:pt>
                <c:pt idx="7">
                  <c:v>21159.386363636298</c:v>
                </c:pt>
                <c:pt idx="8">
                  <c:v>42023.607142857101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6A-4A05-8359-5F4323370CFA}"/>
            </c:ext>
          </c:extLst>
        </c:ser>
        <c:ser>
          <c:idx val="5"/>
          <c:order val="5"/>
          <c:tx>
            <c:strRef>
              <c:f>cflengthResults!$H$64</c:f>
              <c:strCache>
                <c:ptCount val="1"/>
                <c:pt idx="0">
                  <c:v>five leaps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cflengthResults!$B$65:$B$73</c:f>
              <c:numCache>
                <c:formatCode>General</c:formatCode>
                <c:ptCount val="9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</c:numCache>
            </c:numRef>
          </c:xVal>
          <c:yVal>
            <c:numRef>
              <c:f>cflengthResults!$H$65:$H$73</c:f>
              <c:numCache>
                <c:formatCode>General</c:formatCode>
                <c:ptCount val="9"/>
                <c:pt idx="5">
                  <c:v>1531</c:v>
                </c:pt>
                <c:pt idx="6">
                  <c:v>3628.6666666666601</c:v>
                </c:pt>
                <c:pt idx="7">
                  <c:v>21888</c:v>
                </c:pt>
                <c:pt idx="8">
                  <c:v>39429.833333333299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36A-4A05-8359-5F4323370CFA}"/>
            </c:ext>
          </c:extLst>
        </c:ser>
        <c:ser>
          <c:idx val="6"/>
          <c:order val="6"/>
          <c:tx>
            <c:strRef>
              <c:f>cflengthResults!$I$64</c:f>
              <c:strCache>
                <c:ptCount val="1"/>
                <c:pt idx="0">
                  <c:v>six leaps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cflengthResults!$B$65:$B$73</c:f>
              <c:numCache>
                <c:formatCode>General</c:formatCode>
                <c:ptCount val="9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</c:numCache>
            </c:numRef>
          </c:xVal>
          <c:yVal>
            <c:numRef>
              <c:f>cflengthResults!$I$65:$I$73</c:f>
              <c:numCache>
                <c:formatCode>General</c:formatCode>
                <c:ptCount val="9"/>
                <c:pt idx="8">
                  <c:v>7520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36A-4A05-8359-5F4323370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099343"/>
        <c:axId val="1075112783"/>
      </c:scatterChart>
      <c:valAx>
        <c:axId val="1075099343"/>
        <c:scaling>
          <c:orientation val="minMax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Melody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112783"/>
        <c:crosses val="autoZero"/>
        <c:crossBetween val="midCat"/>
      </c:valAx>
      <c:valAx>
        <c:axId val="10751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Number of Valid First Species Counterpoints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099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cflengthResults!$I$106</c:f>
              <c:strCache>
                <c:ptCount val="1"/>
                <c:pt idx="0">
                  <c:v>0 leaps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cflengthResults!$H$107:$H$115</c:f>
              <c:numCache>
                <c:formatCode>General</c:formatCode>
                <c:ptCount val="9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</c:numCache>
            </c:numRef>
          </c:xVal>
          <c:yVal>
            <c:numRef>
              <c:f>cflengthResults!$I$107:$I$115</c:f>
              <c:numCache>
                <c:formatCode>General</c:formatCode>
                <c:ptCount val="9"/>
                <c:pt idx="0">
                  <c:v>1.9895818724580672</c:v>
                </c:pt>
                <c:pt idx="1">
                  <c:v>2.7338450292397711</c:v>
                </c:pt>
                <c:pt idx="2">
                  <c:v>3.2794573691298425</c:v>
                </c:pt>
                <c:pt idx="3">
                  <c:v>3.9209912558029227</c:v>
                </c:pt>
                <c:pt idx="4">
                  <c:v>4.6389020130995169</c:v>
                </c:pt>
                <c:pt idx="5">
                  <c:v>5.8325682940807138</c:v>
                </c:pt>
                <c:pt idx="6">
                  <c:v>6.7945974128765663</c:v>
                </c:pt>
                <c:pt idx="7">
                  <c:v>8.531365260533148</c:v>
                </c:pt>
                <c:pt idx="8">
                  <c:v>11.251086342457169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C8-4FF8-90EE-8464C977FC05}"/>
            </c:ext>
          </c:extLst>
        </c:ser>
        <c:ser>
          <c:idx val="1"/>
          <c:order val="1"/>
          <c:tx>
            <c:strRef>
              <c:f>cflengthResults!$J$106</c:f>
              <c:strCache>
                <c:ptCount val="1"/>
                <c:pt idx="0">
                  <c:v>1 leap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cflengthResults!$H$107:$H$115</c:f>
              <c:numCache>
                <c:formatCode>General</c:formatCode>
                <c:ptCount val="9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</c:numCache>
            </c:numRef>
          </c:xVal>
          <c:yVal>
            <c:numRef>
              <c:f>cflengthResults!$J$107:$J$115</c:f>
              <c:numCache>
                <c:formatCode>General</c:formatCode>
                <c:ptCount val="9"/>
                <c:pt idx="0">
                  <c:v>2.1373194945848253</c:v>
                </c:pt>
                <c:pt idx="1">
                  <c:v>2.7658155532237534</c:v>
                </c:pt>
                <c:pt idx="2">
                  <c:v>3.358796776120863</c:v>
                </c:pt>
                <c:pt idx="3">
                  <c:v>3.9274917800944005</c:v>
                </c:pt>
                <c:pt idx="4">
                  <c:v>5.0227602190429961</c:v>
                </c:pt>
                <c:pt idx="5">
                  <c:v>5.9477704909939186</c:v>
                </c:pt>
                <c:pt idx="6">
                  <c:v>7.3692498894590646</c:v>
                </c:pt>
                <c:pt idx="7">
                  <c:v>7.740169010025217</c:v>
                </c:pt>
                <c:pt idx="8">
                  <c:v>9.8183691879037784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C8-4FF8-90EE-8464C977FC05}"/>
            </c:ext>
          </c:extLst>
        </c:ser>
        <c:ser>
          <c:idx val="2"/>
          <c:order val="2"/>
          <c:tx>
            <c:strRef>
              <c:f>cflengthResults!$K$106</c:f>
              <c:strCache>
                <c:ptCount val="1"/>
                <c:pt idx="0">
                  <c:v>2 leaps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cflengthResults!$H$107:$H$115</c:f>
              <c:numCache>
                <c:formatCode>General</c:formatCode>
                <c:ptCount val="9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</c:numCache>
            </c:numRef>
          </c:xVal>
          <c:yVal>
            <c:numRef>
              <c:f>cflengthResults!$K$107:$K$115</c:f>
              <c:numCache>
                <c:formatCode>General</c:formatCode>
                <c:ptCount val="9"/>
                <c:pt idx="0">
                  <c:v>2.1599811549333672</c:v>
                </c:pt>
                <c:pt idx="1">
                  <c:v>3.0711240623819465</c:v>
                </c:pt>
                <c:pt idx="2">
                  <c:v>3.3631571772617961</c:v>
                </c:pt>
                <c:pt idx="3">
                  <c:v>3.8406207672790273</c:v>
                </c:pt>
                <c:pt idx="4">
                  <c:v>5.0716524184975222</c:v>
                </c:pt>
                <c:pt idx="5">
                  <c:v>5.8386348122867266</c:v>
                </c:pt>
                <c:pt idx="6">
                  <c:v>6.7713684010106432</c:v>
                </c:pt>
                <c:pt idx="7">
                  <c:v>7.7813227347016412</c:v>
                </c:pt>
                <c:pt idx="8">
                  <c:v>9.2960123817197591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C8-4FF8-90EE-8464C977FC05}"/>
            </c:ext>
          </c:extLst>
        </c:ser>
        <c:ser>
          <c:idx val="3"/>
          <c:order val="3"/>
          <c:tx>
            <c:strRef>
              <c:f>cflengthResults!$L$106</c:f>
              <c:strCache>
                <c:ptCount val="1"/>
                <c:pt idx="0">
                  <c:v>3 leaps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cflengthResults!$H$107:$H$115</c:f>
              <c:numCache>
                <c:formatCode>General</c:formatCode>
                <c:ptCount val="9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</c:numCache>
            </c:numRef>
          </c:xVal>
          <c:yVal>
            <c:numRef>
              <c:f>cflengthResults!$L$107:$L$115</c:f>
              <c:numCache>
                <c:formatCode>General</c:formatCode>
                <c:ptCount val="9"/>
                <c:pt idx="0">
                  <c:v>2.4888337468982615</c:v>
                </c:pt>
                <c:pt idx="1">
                  <c:v>2.7487091222030897</c:v>
                </c:pt>
                <c:pt idx="2">
                  <c:v>3.1355067985166913</c:v>
                </c:pt>
                <c:pt idx="3">
                  <c:v>3.6543784029038111</c:v>
                </c:pt>
                <c:pt idx="4">
                  <c:v>4.538031822036011</c:v>
                </c:pt>
                <c:pt idx="5">
                  <c:v>5.8053601475865086</c:v>
                </c:pt>
                <c:pt idx="6">
                  <c:v>6.4355783684066648</c:v>
                </c:pt>
                <c:pt idx="7">
                  <c:v>6.8682998024822943</c:v>
                </c:pt>
                <c:pt idx="8">
                  <c:v>8.6552149047143292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8C8-4FF8-90EE-8464C977F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217311"/>
        <c:axId val="351220671"/>
      </c:scatterChart>
      <c:valAx>
        <c:axId val="351217311"/>
        <c:scaling>
          <c:orientation val="minMax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Melody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220671"/>
        <c:crosses val="autoZero"/>
        <c:crossBetween val="midCat"/>
      </c:valAx>
      <c:valAx>
        <c:axId val="35122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with tie / average without tie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217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384810</xdr:colOff>
      <xdr:row>2</xdr:row>
      <xdr:rowOff>15240</xdr:rowOff>
    </xdr:from>
    <xdr:to>
      <xdr:col>14</xdr:col>
      <xdr:colOff>476250</xdr:colOff>
      <xdr:row>17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1C66C0-18B5-D9E1-AC97-8DF220BB4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394335</xdr:colOff>
      <xdr:row>18</xdr:row>
      <xdr:rowOff>53340</xdr:rowOff>
    </xdr:from>
    <xdr:to>
      <xdr:col>12</xdr:col>
      <xdr:colOff>485775</xdr:colOff>
      <xdr:row>33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12F4C1-8500-5CC3-7826-F953E8BD5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253365</xdr:colOff>
      <xdr:row>35</xdr:row>
      <xdr:rowOff>26670</xdr:rowOff>
    </xdr:from>
    <xdr:to>
      <xdr:col>15</xdr:col>
      <xdr:colOff>344805</xdr:colOff>
      <xdr:row>50</xdr:row>
      <xdr:rowOff>26670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A7CCFE-6CDC-2018-32BC-241AB2BAD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255270</xdr:colOff>
      <xdr:row>45</xdr:row>
      <xdr:rowOff>87630</xdr:rowOff>
    </xdr:from>
    <xdr:to>
      <xdr:col>7</xdr:col>
      <xdr:colOff>346710</xdr:colOff>
      <xdr:row>60</xdr:row>
      <xdr:rowOff>87630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9A55BF-5639-A78C-FF77-C59B6EEB40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386715</xdr:colOff>
      <xdr:row>46</xdr:row>
      <xdr:rowOff>26670</xdr:rowOff>
    </xdr:from>
    <xdr:to>
      <xdr:col>22</xdr:col>
      <xdr:colOff>478155</xdr:colOff>
      <xdr:row>61</xdr:row>
      <xdr:rowOff>26670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4FAB38D-C82A-ADC7-FD8C-66B0B29508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201930</xdr:colOff>
      <xdr:row>64</xdr:row>
      <xdr:rowOff>30480</xdr:rowOff>
    </xdr:from>
    <xdr:to>
      <xdr:col>17</xdr:col>
      <xdr:colOff>87630</xdr:colOff>
      <xdr:row>79</xdr:row>
      <xdr:rowOff>30480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922EF74-9346-EC60-3014-A067F43174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0</xdr:colOff>
      <xdr:row>87</xdr:row>
      <xdr:rowOff>30480</xdr:rowOff>
    </xdr:from>
    <xdr:to>
      <xdr:col>17</xdr:col>
      <xdr:colOff>594360</xdr:colOff>
      <xdr:row>102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142CA3-20C1-6B03-C882-FEB5B68B98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862893-1DFE-4BED-8326-E5E045BC686D}" name="Table1" displayName="Table1" ref="A1:B10" totalsRowShown="0">
  <autoFilter ref="A1:B10" xr:uid="{79862893-1DFE-4BED-8326-E5E045BC686D}">
    <filterColumn colId="0" hiddenButton="1"/>
    <filterColumn colId="1" hiddenButton="1"/>
  </autoFilter>
  <tableColumns count="2">
    <tableColumn id="1" xr3:uid="{77F1C0D1-5C37-4945-9495-D6AFC41B6AA5}" name="length"/>
    <tableColumn id="2" xr3:uid="{AF2B64A4-09E0-4791-8657-98031CFFED3C}" name="cfn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32BA51-5047-4304-B2BB-ACCF602A8662}" name="Table2" displayName="Table2" ref="B20:C29" totalsRowShown="0">
  <autoFilter ref="B20:C29" xr:uid="{6232BA51-5047-4304-B2BB-ACCF602A8662}">
    <filterColumn colId="0" hiddenButton="1"/>
    <filterColumn colId="1" hiddenButton="1"/>
  </autoFilter>
  <tableColumns count="2">
    <tableColumn id="1" xr3:uid="{4BD36B75-2DFE-4D9B-B64A-AF68AFD37FA6}" name="length"/>
    <tableColumn id="2" xr3:uid="{5E14245C-8159-4A9F-9CDD-3689E623EDE5}" name="avgf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C21D04-15C8-4698-9280-0E80752EB135}" name="Table3" displayName="Table3" ref="B35:D44" totalsRowShown="0">
  <autoFilter ref="B35:D44" xr:uid="{23C21D04-15C8-4698-9280-0E80752EB135}">
    <filterColumn colId="0" hiddenButton="1"/>
    <filterColumn colId="1" hiddenButton="1"/>
    <filterColumn colId="2" hiddenButton="1"/>
  </autoFilter>
  <tableColumns count="3">
    <tableColumn id="1" xr3:uid="{AA710D3E-F20E-4B8A-AA7F-4C07D620C4E6}" name="length"/>
    <tableColumn id="2" xr3:uid="{B2C82CE4-427E-422B-92B1-A37836F211EC}" name="w/ tie"/>
    <tableColumn id="3" xr3:uid="{6BA17CE7-EAFF-46BD-A561-182D357FA74C}" name="w/o ti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1CEDA9-C3AD-476A-A12B-137700A9C495}" name="Table4" displayName="Table4" ref="J52:M61" totalsRowShown="0">
  <autoFilter ref="J52:M61" xr:uid="{351CEDA9-C3AD-476A-A12B-137700A9C495}">
    <filterColumn colId="0" hiddenButton="1"/>
    <filterColumn colId="1" hiddenButton="1"/>
    <filterColumn colId="2" hiddenButton="1"/>
    <filterColumn colId="3" hiddenButton="1"/>
  </autoFilter>
  <tableColumns count="4">
    <tableColumn id="1" xr3:uid="{B854CAD2-B8B3-4A23-A412-B34D238AE8B2}" name="length"/>
    <tableColumn id="2" xr3:uid="{75D4FA36-A45D-4AC5-9198-27AB0DE06F74}" name="starting1"/>
    <tableColumn id="3" xr3:uid="{060CE4D9-55C2-4203-A36C-6173E4AFB778}" name="starting3"/>
    <tableColumn id="4" xr3:uid="{87C3EE7A-D017-4418-84F7-7B87040CF84F}" name="starting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17279F-1AE8-4810-AFDB-982820F1AA2F}" name="Table5" displayName="Table5" ref="B64:I73" totalsRowShown="0">
  <autoFilter ref="B64:I73" xr:uid="{1F17279F-1AE8-4810-AFDB-982820F1AA2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2C4BCA3-F4D5-42F9-896A-97D7E82BC0CE}" name="length "/>
    <tableColumn id="2" xr3:uid="{F1D230B6-8A73-40BA-8678-63E5906FD0DD}" name="zero leaps"/>
    <tableColumn id="3" xr3:uid="{D85A7D88-995D-486D-AFFC-48758315CFD6}" name="one leap"/>
    <tableColumn id="4" xr3:uid="{FBFD0D0D-4A33-4431-A478-3A707A5337B5}" name="two leaps"/>
    <tableColumn id="5" xr3:uid="{AFB1A736-AE14-4AEB-BD14-B6DCD76C0CA1}" name="three leaps"/>
    <tableColumn id="6" xr3:uid="{5CDFD171-48EB-4418-B5A5-D048E5F21D22}" name="four leaps"/>
    <tableColumn id="7" xr3:uid="{007AE874-55E1-41F1-A7AA-634391859866}" name="five leaps"/>
    <tableColumn id="8" xr3:uid="{DFEE2E3E-92B7-451F-B835-3F6CB5677AC8}" name="six leap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58625A7-6CFD-4DD8-B3F4-E563413ECE44}" name="Table37" displayName="Table37" ref="B76:D85" totalsRowShown="0">
  <autoFilter ref="B76:D85" xr:uid="{758625A7-6CFD-4DD8-B3F4-E563413ECE44}">
    <filterColumn colId="0" hiddenButton="1"/>
    <filterColumn colId="1" hiddenButton="1"/>
    <filterColumn colId="2" hiddenButton="1"/>
  </autoFilter>
  <tableColumns count="3">
    <tableColumn id="1" xr3:uid="{8D0859CD-169E-4D99-9785-171FF6C947A4}" name="length"/>
    <tableColumn id="2" xr3:uid="{A96C6EA3-EBB3-4AC2-A744-3BC06AF49FCE}" name="w/ tie"/>
    <tableColumn id="3" xr3:uid="{2C8AA28A-D80F-4A3B-B70F-235C00D6E9ED}" name="w/o ti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E79F8FA-21BC-438A-A18B-57BAC6B2BF38}" name="Table378" displayName="Table378" ref="B88:D98" totalsRowShown="0">
  <autoFilter ref="B88:D98" xr:uid="{8E79F8FA-21BC-438A-A18B-57BAC6B2BF38}">
    <filterColumn colId="0" hiddenButton="1"/>
    <filterColumn colId="1" hiddenButton="1"/>
    <filterColumn colId="2" hiddenButton="1"/>
  </autoFilter>
  <tableColumns count="3">
    <tableColumn id="1" xr3:uid="{CDF857B2-6509-4FD3-A291-9A117F406B84}" name="length"/>
    <tableColumn id="2" xr3:uid="{6CBD0DD5-E4C3-4CEB-8903-CD4C01CA9BEE}" name="w/ tie"/>
    <tableColumn id="3" xr3:uid="{C787C2B5-AB5E-4571-812E-1EBA37E1FD60}" name="w/o ti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6C9DEAF-5455-44B2-BF40-CB9930A6C11B}" name="Table3789" displayName="Table3789" ref="B99:D109" totalsRowShown="0">
  <autoFilter ref="B99:D109" xr:uid="{B6C9DEAF-5455-44B2-BF40-CB9930A6C11B}">
    <filterColumn colId="0" hiddenButton="1"/>
    <filterColumn colId="1" hiddenButton="1"/>
    <filterColumn colId="2" hiddenButton="1"/>
  </autoFilter>
  <tableColumns count="3">
    <tableColumn id="1" xr3:uid="{B4FD260C-4B2D-4B2B-AADA-B36325596033}" name="length"/>
    <tableColumn id="2" xr3:uid="{305F7DE4-9251-455A-AE3F-5190E51024A2}" name="w/ tie"/>
    <tableColumn id="3" xr3:uid="{F314E0A7-75A2-4418-B7A2-5A90B0EAEA21}" name="w/o ti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A0A8A86-1C19-4375-8E75-0F212829F53F}" name="Table378910" displayName="Table378910" ref="B110:D119" totalsRowShown="0">
  <autoFilter ref="B110:D119" xr:uid="{AA0A8A86-1C19-4375-8E75-0F212829F53F}">
    <filterColumn colId="0" hiddenButton="1"/>
    <filterColumn colId="1" hiddenButton="1"/>
    <filterColumn colId="2" hiddenButton="1"/>
  </autoFilter>
  <tableColumns count="3">
    <tableColumn id="1" xr3:uid="{457C5949-FAE9-4E93-BDE3-086BA78030F2}" name="length"/>
    <tableColumn id="2" xr3:uid="{02340DF3-B1CE-469C-A8AF-F6219C10E6E5}" name="w/ tie"/>
    <tableColumn id="3" xr3:uid="{E89378FC-28B7-414A-90A4-7111603C99DD}" name="w/o ti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FC5B293-5BEA-4EF1-A779-B502174E6BBE}" name="Table10" displayName="Table10" ref="H106:L115" totalsRowShown="0" tableBorderDxfId="1">
  <autoFilter ref="H106:L115" xr:uid="{1FC5B293-5BEA-4EF1-A779-B502174E6BB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664C846D-4744-414F-A2C4-36B0A8EF54B0}" name="length" dataDxfId="0"/>
    <tableColumn id="2" xr3:uid="{D1A5E235-F229-4AA8-B644-41CC79619F7D}" name="0 leaps"/>
    <tableColumn id="3" xr3:uid="{89BC4BAB-BB1E-4B82-8EA2-DDB674AE5084}" name="1 leap"/>
    <tableColumn id="4" xr3:uid="{AC0ADAA1-5AE4-43D5-A5D6-59F7067D4825}" name="2 leaps"/>
    <tableColumn id="5" xr3:uid="{1DD9C786-14F3-472E-998C-F0B75F472859}" name="3 leap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E85FF-2101-461D-9FFE-75654F90D461}">
  <dimension ref="A1:N119"/>
  <sheetViews>
    <sheetView tabSelected="1" topLeftCell="G37" workbookViewId="0">
      <selection activeCell="O58" sqref="O58"/>
    </sheetView>
  </sheetViews>
  <sheetFormatPr defaultRowHeight="14.4" x14ac:dyDescent="0.55000000000000004"/>
  <cols>
    <col min="2" max="2" width="9.68359375" bestFit="1" customWidth="1"/>
    <col min="3" max="3" width="11.68359375" bestFit="1" customWidth="1"/>
    <col min="4" max="4" width="9.5234375" customWidth="1"/>
    <col min="5" max="5" width="10.41796875" customWidth="1"/>
    <col min="6" max="6" width="11.62890625" customWidth="1"/>
    <col min="7" max="7" width="10.62890625" customWidth="1"/>
    <col min="8" max="8" width="10.26171875" customWidth="1"/>
    <col min="9" max="9" width="9.3671875" customWidth="1"/>
    <col min="11" max="13" width="9.7890625" customWidth="1"/>
  </cols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>
        <v>8</v>
      </c>
      <c r="B2">
        <v>1854</v>
      </c>
      <c r="C2">
        <v>206.40154000000001</v>
      </c>
      <c r="D2">
        <v>1854</v>
      </c>
      <c r="E2" t="s">
        <v>5</v>
      </c>
    </row>
    <row r="3" spans="1:5" x14ac:dyDescent="0.55000000000000004">
      <c r="A3">
        <v>9</v>
      </c>
      <c r="B3">
        <v>8311</v>
      </c>
      <c r="C3">
        <v>207.58393000000001</v>
      </c>
      <c r="D3">
        <v>1000</v>
      </c>
      <c r="E3">
        <v>0</v>
      </c>
    </row>
    <row r="4" spans="1:5" x14ac:dyDescent="0.55000000000000004">
      <c r="A4">
        <v>10</v>
      </c>
      <c r="B4">
        <v>36123</v>
      </c>
      <c r="C4">
        <v>546.52188799999999</v>
      </c>
      <c r="D4">
        <v>1000</v>
      </c>
      <c r="E4" t="s">
        <v>6</v>
      </c>
    </row>
    <row r="5" spans="1:5" x14ac:dyDescent="0.55000000000000004">
      <c r="A5">
        <v>11</v>
      </c>
      <c r="B5">
        <v>157974</v>
      </c>
      <c r="C5">
        <v>1242.55458</v>
      </c>
      <c r="D5">
        <v>1000</v>
      </c>
      <c r="E5" t="s">
        <v>6</v>
      </c>
    </row>
    <row r="6" spans="1:5" x14ac:dyDescent="0.55000000000000004">
      <c r="A6">
        <v>12</v>
      </c>
      <c r="B6">
        <v>679930</v>
      </c>
      <c r="C6">
        <v>2995.4020230000001</v>
      </c>
      <c r="D6">
        <v>1000</v>
      </c>
      <c r="E6" t="s">
        <v>6</v>
      </c>
    </row>
    <row r="7" spans="1:5" x14ac:dyDescent="0.55000000000000004">
      <c r="A7">
        <v>13</v>
      </c>
      <c r="B7">
        <v>2912744</v>
      </c>
      <c r="C7">
        <v>7671.3009330000004</v>
      </c>
      <c r="D7">
        <v>1000</v>
      </c>
      <c r="E7" t="s">
        <v>6</v>
      </c>
    </row>
    <row r="8" spans="1:5" x14ac:dyDescent="0.55000000000000004">
      <c r="A8">
        <v>14</v>
      </c>
      <c r="B8">
        <v>12364068</v>
      </c>
    </row>
    <row r="9" spans="1:5" x14ac:dyDescent="0.55000000000000004">
      <c r="A9">
        <v>15</v>
      </c>
      <c r="B9">
        <v>52207488</v>
      </c>
    </row>
    <row r="10" spans="1:5" x14ac:dyDescent="0.55000000000000004">
      <c r="A10">
        <v>16</v>
      </c>
      <c r="B10">
        <v>219142399</v>
      </c>
    </row>
    <row r="20" spans="2:3" x14ac:dyDescent="0.55000000000000004">
      <c r="B20" t="s">
        <v>0</v>
      </c>
      <c r="C20" t="s">
        <v>7</v>
      </c>
    </row>
    <row r="21" spans="2:3" x14ac:dyDescent="0.55000000000000004">
      <c r="B21">
        <v>8</v>
      </c>
      <c r="C21">
        <v>182.323624595469</v>
      </c>
    </row>
    <row r="22" spans="2:3" x14ac:dyDescent="0.55000000000000004">
      <c r="B22">
        <v>9</v>
      </c>
      <c r="C22">
        <v>398.88799999999998</v>
      </c>
    </row>
    <row r="23" spans="2:3" x14ac:dyDescent="0.55000000000000004">
      <c r="B23">
        <v>10</v>
      </c>
      <c r="C23">
        <v>923.05200000000002</v>
      </c>
    </row>
    <row r="24" spans="2:3" x14ac:dyDescent="0.55000000000000004">
      <c r="B24">
        <v>11</v>
      </c>
      <c r="C24">
        <v>2084.1610000000001</v>
      </c>
    </row>
    <row r="25" spans="2:3" x14ac:dyDescent="0.55000000000000004">
      <c r="B25">
        <v>12</v>
      </c>
      <c r="C25">
        <v>4560.9089999999997</v>
      </c>
    </row>
    <row r="26" spans="2:3" x14ac:dyDescent="0.55000000000000004">
      <c r="B26">
        <v>13</v>
      </c>
      <c r="C26">
        <v>9984.0390000000007</v>
      </c>
    </row>
    <row r="27" spans="2:3" x14ac:dyDescent="0.55000000000000004">
      <c r="B27">
        <v>14</v>
      </c>
      <c r="C27">
        <v>22480.863000000001</v>
      </c>
    </row>
    <row r="28" spans="2:3" x14ac:dyDescent="0.55000000000000004">
      <c r="B28">
        <v>15</v>
      </c>
      <c r="C28">
        <v>47616.252</v>
      </c>
    </row>
    <row r="29" spans="2:3" x14ac:dyDescent="0.55000000000000004">
      <c r="B29">
        <v>16</v>
      </c>
      <c r="C29">
        <v>104986.647</v>
      </c>
    </row>
    <row r="35" spans="2:6" x14ac:dyDescent="0.55000000000000004">
      <c r="B35" t="s">
        <v>0</v>
      </c>
      <c r="C35" t="s">
        <v>8</v>
      </c>
      <c r="D35" t="s">
        <v>9</v>
      </c>
      <c r="F35" t="s">
        <v>10</v>
      </c>
    </row>
    <row r="36" spans="2:6" x14ac:dyDescent="0.55000000000000004">
      <c r="B36">
        <v>8</v>
      </c>
      <c r="C36">
        <v>123.048004314994</v>
      </c>
      <c r="D36">
        <v>59.275620280474598</v>
      </c>
      <c r="F36">
        <f>Table3[[#This Row],[w/ tie]]/Table3[[#This Row],[w/o tie]]</f>
        <v>2.0758619434561369</v>
      </c>
    </row>
    <row r="37" spans="2:6" x14ac:dyDescent="0.55000000000000004">
      <c r="B37">
        <v>9</v>
      </c>
      <c r="C37">
        <v>294.108</v>
      </c>
      <c r="D37">
        <v>104.78</v>
      </c>
      <c r="F37">
        <f>Table3[[#This Row],[w/ tie]]/Table3[[#This Row],[w/o tie]]</f>
        <v>2.8069097155945792</v>
      </c>
    </row>
    <row r="38" spans="2:6" x14ac:dyDescent="0.55000000000000004">
      <c r="B38">
        <v>10</v>
      </c>
      <c r="C38">
        <v>709.50300000000004</v>
      </c>
      <c r="D38">
        <v>213.54900000000001</v>
      </c>
      <c r="F38">
        <f>Table3[[#This Row],[w/ tie]]/Table3[[#This Row],[w/o tie]]</f>
        <v>3.3224365368135653</v>
      </c>
    </row>
    <row r="39" spans="2:6" x14ac:dyDescent="0.55000000000000004">
      <c r="B39">
        <v>11</v>
      </c>
      <c r="C39">
        <v>1658.35</v>
      </c>
      <c r="D39">
        <v>425.81099999999998</v>
      </c>
      <c r="F39">
        <f>Table3[[#This Row],[w/ tie]]/Table3[[#This Row],[w/o tie]]</f>
        <v>3.894568247414933</v>
      </c>
    </row>
    <row r="40" spans="2:6" x14ac:dyDescent="0.55000000000000004">
      <c r="B40">
        <v>12</v>
      </c>
      <c r="C40">
        <v>3787.7979999999998</v>
      </c>
      <c r="D40">
        <v>773.11099999999999</v>
      </c>
      <c r="F40">
        <f>Table3[[#This Row],[w/ tie]]/Table3[[#This Row],[w/o tie]]</f>
        <v>4.8994232393537276</v>
      </c>
    </row>
    <row r="41" spans="2:6" x14ac:dyDescent="0.55000000000000004">
      <c r="B41">
        <v>13</v>
      </c>
      <c r="C41">
        <v>8532.32</v>
      </c>
      <c r="D41">
        <v>1451.7190000000001</v>
      </c>
      <c r="F41">
        <f>Table3[[#This Row],[w/ tie]]/Table3[[#This Row],[w/o tie]]</f>
        <v>5.8773908724760089</v>
      </c>
    </row>
    <row r="42" spans="2:6" x14ac:dyDescent="0.55000000000000004">
      <c r="B42">
        <v>14</v>
      </c>
      <c r="C42">
        <v>19664.559000000001</v>
      </c>
      <c r="D42">
        <v>2816.3040000000001</v>
      </c>
      <c r="F42">
        <f>Table3[[#This Row],[w/ tie]]/Table3[[#This Row],[w/o tie]]</f>
        <v>6.9823992722376564</v>
      </c>
    </row>
    <row r="43" spans="2:6" x14ac:dyDescent="0.55000000000000004">
      <c r="B43">
        <v>15</v>
      </c>
      <c r="C43">
        <v>42203.512000000002</v>
      </c>
      <c r="D43">
        <v>5412.74</v>
      </c>
      <c r="F43">
        <f>Table3[[#This Row],[w/ tie]]/Table3[[#This Row],[w/o tie]]</f>
        <v>7.7970698758854118</v>
      </c>
    </row>
    <row r="44" spans="2:6" x14ac:dyDescent="0.55000000000000004">
      <c r="B44">
        <v>16</v>
      </c>
      <c r="C44">
        <v>95243.660999999993</v>
      </c>
      <c r="D44">
        <v>9742.9860000000008</v>
      </c>
      <c r="F44">
        <f>Table3[[#This Row],[w/ tie]]/Table3[[#This Row],[w/o tie]]</f>
        <v>9.7756130410122708</v>
      </c>
    </row>
    <row r="52" spans="2:14" x14ac:dyDescent="0.55000000000000004">
      <c r="J52" t="s">
        <v>0</v>
      </c>
      <c r="K52" t="s">
        <v>11</v>
      </c>
      <c r="L52" t="s">
        <v>12</v>
      </c>
      <c r="M52" t="s">
        <v>13</v>
      </c>
    </row>
    <row r="53" spans="2:14" x14ac:dyDescent="0.55000000000000004">
      <c r="J53">
        <v>8</v>
      </c>
      <c r="K53">
        <v>48.855447680690297</v>
      </c>
      <c r="L53">
        <v>67.040992448759397</v>
      </c>
      <c r="M53">
        <v>66.427184466019398</v>
      </c>
      <c r="N53">
        <f>SUM(K53:M53)</f>
        <v>182.32362459546908</v>
      </c>
    </row>
    <row r="54" spans="2:14" x14ac:dyDescent="0.55000000000000004">
      <c r="J54">
        <v>9</v>
      </c>
      <c r="K54">
        <v>103.27800000000001</v>
      </c>
      <c r="L54">
        <v>147.167</v>
      </c>
      <c r="M54">
        <v>148.44300000000001</v>
      </c>
      <c r="N54">
        <f t="shared" ref="N54:N61" si="0">SUM(K54:M54)</f>
        <v>398.88800000000003</v>
      </c>
    </row>
    <row r="55" spans="2:14" x14ac:dyDescent="0.55000000000000004">
      <c r="J55">
        <v>10</v>
      </c>
      <c r="K55">
        <v>239.59899999999999</v>
      </c>
      <c r="L55">
        <v>338.08699999999999</v>
      </c>
      <c r="M55">
        <v>345.36599999999999</v>
      </c>
      <c r="N55">
        <f t="shared" si="0"/>
        <v>923.05199999999991</v>
      </c>
    </row>
    <row r="56" spans="2:14" x14ac:dyDescent="0.55000000000000004">
      <c r="J56">
        <v>11</v>
      </c>
      <c r="K56">
        <v>530.13699999999994</v>
      </c>
      <c r="L56">
        <v>765.79700000000003</v>
      </c>
      <c r="M56">
        <v>788.22699999999998</v>
      </c>
      <c r="N56">
        <f t="shared" si="0"/>
        <v>2084.1610000000001</v>
      </c>
    </row>
    <row r="57" spans="2:14" x14ac:dyDescent="0.55000000000000004">
      <c r="J57">
        <v>12</v>
      </c>
      <c r="K57">
        <v>1157.556</v>
      </c>
      <c r="L57">
        <v>1667.0540000000001</v>
      </c>
      <c r="M57">
        <v>1736.299</v>
      </c>
      <c r="N57">
        <f t="shared" si="0"/>
        <v>4560.9089999999997</v>
      </c>
    </row>
    <row r="58" spans="2:14" x14ac:dyDescent="0.55000000000000004">
      <c r="J58">
        <v>13</v>
      </c>
      <c r="K58">
        <v>2432.2260000000001</v>
      </c>
      <c r="L58">
        <v>3669.6790000000001</v>
      </c>
      <c r="M58">
        <v>3882.134</v>
      </c>
      <c r="N58">
        <f t="shared" si="0"/>
        <v>9984.0390000000007</v>
      </c>
    </row>
    <row r="59" spans="2:14" x14ac:dyDescent="0.55000000000000004">
      <c r="J59">
        <v>14</v>
      </c>
      <c r="K59">
        <v>5476.4930000000004</v>
      </c>
      <c r="L59">
        <v>8183.5990000000002</v>
      </c>
      <c r="M59">
        <v>8820.7710000000006</v>
      </c>
      <c r="N59">
        <f t="shared" si="0"/>
        <v>22480.863000000001</v>
      </c>
    </row>
    <row r="60" spans="2:14" x14ac:dyDescent="0.55000000000000004">
      <c r="J60">
        <v>15</v>
      </c>
      <c r="K60">
        <v>11410.272999999999</v>
      </c>
      <c r="L60">
        <v>17333.606</v>
      </c>
      <c r="M60">
        <v>18872.373</v>
      </c>
      <c r="N60">
        <f t="shared" si="0"/>
        <v>47616.252</v>
      </c>
    </row>
    <row r="61" spans="2:14" x14ac:dyDescent="0.55000000000000004">
      <c r="J61">
        <v>16</v>
      </c>
      <c r="K61">
        <v>24802.953000000001</v>
      </c>
      <c r="L61">
        <v>38569.572999999997</v>
      </c>
      <c r="M61">
        <v>41614.120999999999</v>
      </c>
      <c r="N61">
        <f t="shared" si="0"/>
        <v>104986.647</v>
      </c>
    </row>
    <row r="64" spans="2:14" x14ac:dyDescent="0.55000000000000004">
      <c r="B64" t="s">
        <v>14</v>
      </c>
      <c r="C64" t="s">
        <v>15</v>
      </c>
      <c r="D64" t="s">
        <v>16</v>
      </c>
      <c r="E64" t="s">
        <v>18</v>
      </c>
      <c r="F64" t="s">
        <v>17</v>
      </c>
      <c r="G64" t="s">
        <v>19</v>
      </c>
      <c r="H64" t="s">
        <v>20</v>
      </c>
      <c r="I64" t="s">
        <v>21</v>
      </c>
    </row>
    <row r="65" spans="2:9" x14ac:dyDescent="0.55000000000000004">
      <c r="B65">
        <v>8</v>
      </c>
      <c r="C65">
        <v>229.921417565485</v>
      </c>
      <c r="D65">
        <v>178.26410256410199</v>
      </c>
      <c r="E65">
        <v>119.772959183673</v>
      </c>
      <c r="F65">
        <v>85.212121212121204</v>
      </c>
    </row>
    <row r="66" spans="2:9" x14ac:dyDescent="0.55000000000000004">
      <c r="B66">
        <v>9</v>
      </c>
      <c r="C66">
        <v>526.58762886597901</v>
      </c>
      <c r="D66">
        <v>404.75438596491199</v>
      </c>
      <c r="E66">
        <v>284.68679245282999</v>
      </c>
      <c r="F66">
        <v>193.6</v>
      </c>
    </row>
    <row r="67" spans="2:9" x14ac:dyDescent="0.55000000000000004">
      <c r="B67">
        <v>10</v>
      </c>
      <c r="C67">
        <v>1245.95323741007</v>
      </c>
      <c r="D67">
        <v>940.73157894736801</v>
      </c>
      <c r="E67">
        <v>671.46853146853095</v>
      </c>
      <c r="F67">
        <v>486.636363636363</v>
      </c>
      <c r="G67">
        <v>394</v>
      </c>
    </row>
    <row r="68" spans="2:9" x14ac:dyDescent="0.55000000000000004">
      <c r="B68">
        <v>11</v>
      </c>
      <c r="C68">
        <v>2840.3162393162302</v>
      </c>
      <c r="D68">
        <v>2178.7704485488098</v>
      </c>
      <c r="E68">
        <v>1642.3333333333301</v>
      </c>
      <c r="F68">
        <v>1155.85915492957</v>
      </c>
      <c r="G68">
        <v>603.71428571428498</v>
      </c>
    </row>
    <row r="69" spans="2:9" x14ac:dyDescent="0.55000000000000004">
      <c r="B69">
        <v>12</v>
      </c>
      <c r="C69">
        <v>6509.9465240641703</v>
      </c>
      <c r="D69">
        <v>4886.0488997555003</v>
      </c>
      <c r="E69">
        <v>3631.0894039735099</v>
      </c>
      <c r="F69">
        <v>2552.4597701149401</v>
      </c>
      <c r="G69">
        <v>1766.8</v>
      </c>
    </row>
    <row r="70" spans="2:9" x14ac:dyDescent="0.55000000000000004">
      <c r="B70">
        <v>13</v>
      </c>
      <c r="C70">
        <v>14902.7261904761</v>
      </c>
      <c r="D70">
        <v>10852.8997429305</v>
      </c>
      <c r="E70">
        <v>7876.2578616352203</v>
      </c>
      <c r="F70">
        <v>6333.7358490566003</v>
      </c>
      <c r="G70">
        <v>4502.5555555555502</v>
      </c>
      <c r="H70">
        <v>1531</v>
      </c>
    </row>
    <row r="71" spans="2:9" x14ac:dyDescent="0.55000000000000004">
      <c r="B71">
        <v>14</v>
      </c>
      <c r="C71">
        <v>32021.664516129</v>
      </c>
      <c r="D71">
        <v>25750.208672086701</v>
      </c>
      <c r="E71">
        <v>18818.7196261682</v>
      </c>
      <c r="F71">
        <v>13394.1076923076</v>
      </c>
      <c r="G71">
        <v>10124.9545454545</v>
      </c>
      <c r="H71">
        <v>3628.6666666666601</v>
      </c>
    </row>
    <row r="72" spans="2:9" x14ac:dyDescent="0.55000000000000004">
      <c r="B72">
        <v>15</v>
      </c>
      <c r="C72">
        <v>72417.8984375</v>
      </c>
      <c r="D72">
        <v>55203.823353293403</v>
      </c>
      <c r="E72">
        <v>41066.719101123599</v>
      </c>
      <c r="F72">
        <v>32019.628787878701</v>
      </c>
      <c r="G72">
        <v>21159.386363636298</v>
      </c>
      <c r="H72">
        <v>21888</v>
      </c>
    </row>
    <row r="73" spans="2:9" x14ac:dyDescent="0.55000000000000004">
      <c r="B73">
        <v>16</v>
      </c>
      <c r="C73">
        <v>163410.87401574801</v>
      </c>
      <c r="D73">
        <v>126189.94303797399</v>
      </c>
      <c r="E73">
        <v>94180.675925925898</v>
      </c>
      <c r="F73">
        <v>67127.469512195094</v>
      </c>
      <c r="G73">
        <v>42023.607142857101</v>
      </c>
      <c r="H73">
        <v>39429.833333333299</v>
      </c>
      <c r="I73">
        <v>7520</v>
      </c>
    </row>
    <row r="75" spans="2:9" x14ac:dyDescent="0.55000000000000004">
      <c r="B75" t="s">
        <v>22</v>
      </c>
    </row>
    <row r="76" spans="2:9" x14ac:dyDescent="0.55000000000000004">
      <c r="B76" t="s">
        <v>0</v>
      </c>
      <c r="C76" t="s">
        <v>8</v>
      </c>
      <c r="D76" t="s">
        <v>9</v>
      </c>
      <c r="F76" t="s">
        <v>10</v>
      </c>
    </row>
    <row r="77" spans="2:9" x14ac:dyDescent="0.55000000000000004">
      <c r="B77">
        <v>8</v>
      </c>
      <c r="C77">
        <v>153.013867488443</v>
      </c>
      <c r="D77">
        <v>76.907550077041606</v>
      </c>
      <c r="F77">
        <f>Table37[[#This Row],[w/ tie]]/Table37[[#This Row],[w/o tie]]</f>
        <v>1.9895818724580672</v>
      </c>
    </row>
    <row r="78" spans="2:9" x14ac:dyDescent="0.55000000000000004">
      <c r="B78">
        <v>9</v>
      </c>
      <c r="C78">
        <v>385.556701030927</v>
      </c>
      <c r="D78">
        <v>141.03092783505099</v>
      </c>
      <c r="F78">
        <f>Table37[[#This Row],[w/ tie]]/Table37[[#This Row],[w/o tie]]</f>
        <v>2.7338450292397711</v>
      </c>
    </row>
    <row r="79" spans="2:9" x14ac:dyDescent="0.55000000000000004">
      <c r="B79">
        <v>10</v>
      </c>
      <c r="C79">
        <v>954.80575539568304</v>
      </c>
      <c r="D79">
        <v>291.147482014388</v>
      </c>
      <c r="F79">
        <f>Table37[[#This Row],[w/ tie]]/Table37[[#This Row],[w/o tie]]</f>
        <v>3.2794573691298425</v>
      </c>
    </row>
    <row r="80" spans="2:9" x14ac:dyDescent="0.55000000000000004">
      <c r="B80">
        <v>11</v>
      </c>
      <c r="C80">
        <v>2263.1324786324699</v>
      </c>
      <c r="D80">
        <v>577.18376068376006</v>
      </c>
      <c r="F80">
        <f>Table37[[#This Row],[w/ tie]]/Table37[[#This Row],[w/o tie]]</f>
        <v>3.9209912558029227</v>
      </c>
    </row>
    <row r="81" spans="2:6" x14ac:dyDescent="0.55000000000000004">
      <c r="B81">
        <v>12</v>
      </c>
      <c r="C81">
        <v>5355.4759358288702</v>
      </c>
      <c r="D81">
        <v>1154.4705882352901</v>
      </c>
      <c r="F81">
        <f>Table37[[#This Row],[w/ tie]]/Table37[[#This Row],[w/o tie]]</f>
        <v>4.6389020130995169</v>
      </c>
    </row>
    <row r="82" spans="2:6" x14ac:dyDescent="0.55000000000000004">
      <c r="B82">
        <v>13</v>
      </c>
      <c r="C82">
        <v>12721.5952380952</v>
      </c>
      <c r="D82">
        <v>2181.13095238095</v>
      </c>
      <c r="F82">
        <f>Table37[[#This Row],[w/ tie]]/Table37[[#This Row],[w/o tie]]</f>
        <v>5.8325682940807138</v>
      </c>
    </row>
    <row r="83" spans="2:6" x14ac:dyDescent="0.55000000000000004">
      <c r="B83">
        <v>14</v>
      </c>
      <c r="C83">
        <v>27913.4774193548</v>
      </c>
      <c r="D83">
        <v>4108.1870967741897</v>
      </c>
      <c r="F83">
        <f>Table37[[#This Row],[w/ tie]]/Table37[[#This Row],[w/o tie]]</f>
        <v>6.7945974128765663</v>
      </c>
    </row>
    <row r="84" spans="2:6" x14ac:dyDescent="0.55000000000000004">
      <c r="B84">
        <v>15</v>
      </c>
      <c r="C84">
        <v>64820.046875</v>
      </c>
      <c r="D84">
        <v>7597.8515625</v>
      </c>
      <c r="F84">
        <f>Table37[[#This Row],[w/ tie]]/Table37[[#This Row],[w/o tie]]</f>
        <v>8.531365260533148</v>
      </c>
    </row>
    <row r="85" spans="2:6" x14ac:dyDescent="0.55000000000000004">
      <c r="B85">
        <v>16</v>
      </c>
      <c r="C85">
        <v>150072.39370078701</v>
      </c>
      <c r="D85">
        <v>13338.4803149606</v>
      </c>
      <c r="F85">
        <f>Table37[[#This Row],[w/ tie]]/Table37[[#This Row],[w/o tie]]</f>
        <v>11.251086342457169</v>
      </c>
    </row>
    <row r="87" spans="2:6" x14ac:dyDescent="0.55000000000000004">
      <c r="B87" t="s">
        <v>23</v>
      </c>
    </row>
    <row r="88" spans="2:6" x14ac:dyDescent="0.55000000000000004">
      <c r="B88" t="s">
        <v>0</v>
      </c>
      <c r="C88" t="s">
        <v>8</v>
      </c>
      <c r="D88" t="s">
        <v>9</v>
      </c>
      <c r="F88" t="s">
        <v>10</v>
      </c>
    </row>
    <row r="89" spans="2:6" x14ac:dyDescent="0.55000000000000004">
      <c r="B89">
        <v>8</v>
      </c>
      <c r="C89">
        <v>121.443589743589</v>
      </c>
      <c r="D89">
        <v>56.820512820512803</v>
      </c>
      <c r="F89">
        <f>Table378[[#This Row],[w/ tie]]/Table378[[#This Row],[w/o tie]]</f>
        <v>2.1373194945848253</v>
      </c>
    </row>
    <row r="90" spans="2:6" x14ac:dyDescent="0.55000000000000004">
      <c r="B90">
        <v>9</v>
      </c>
      <c r="C90">
        <v>297.27318295739298</v>
      </c>
      <c r="D90">
        <v>107.481203007518</v>
      </c>
      <c r="F90">
        <f>Table378[[#This Row],[w/ tie]]/Table378[[#This Row],[w/o tie]]</f>
        <v>2.7658155532237534</v>
      </c>
    </row>
    <row r="91" spans="2:6" x14ac:dyDescent="0.55000000000000004">
      <c r="B91">
        <v>10</v>
      </c>
      <c r="C91">
        <v>724.90789473684197</v>
      </c>
      <c r="D91">
        <v>215.82368421052601</v>
      </c>
      <c r="F91">
        <f>Table378[[#This Row],[w/ tie]]/Table378[[#This Row],[w/o tie]]</f>
        <v>3.358796776120863</v>
      </c>
    </row>
    <row r="92" spans="2:6" x14ac:dyDescent="0.55000000000000004">
      <c r="B92">
        <v>11</v>
      </c>
      <c r="C92">
        <v>1736.6042216358801</v>
      </c>
      <c r="D92">
        <v>442.16622691292798</v>
      </c>
      <c r="F92">
        <f>Table378[[#This Row],[w/ tie]]/Table378[[#This Row],[w/o tie]]</f>
        <v>3.9274917800944005</v>
      </c>
    </row>
    <row r="93" spans="2:6" x14ac:dyDescent="0.55000000000000004">
      <c r="B93">
        <v>12</v>
      </c>
      <c r="C93">
        <v>4074.7848410757902</v>
      </c>
      <c r="D93">
        <v>811.26405867970595</v>
      </c>
      <c r="F93">
        <f>Table378[[#This Row],[w/ tie]]/Table378[[#This Row],[w/o tie]]</f>
        <v>5.0227602190429961</v>
      </c>
    </row>
    <row r="94" spans="2:6" x14ac:dyDescent="0.55000000000000004">
      <c r="B94">
        <v>13</v>
      </c>
      <c r="C94">
        <v>9290.8303341902301</v>
      </c>
      <c r="D94">
        <v>1562.0694087403599</v>
      </c>
      <c r="F94">
        <f>Table378[[#This Row],[w/ tie]]/Table378[[#This Row],[w/o tie]]</f>
        <v>5.9477704909939186</v>
      </c>
    </row>
    <row r="95" spans="2:6" x14ac:dyDescent="0.55000000000000004">
      <c r="B95">
        <v>14</v>
      </c>
      <c r="C95">
        <v>22673.444444444402</v>
      </c>
      <c r="D95">
        <v>3076.7642276422698</v>
      </c>
      <c r="F95">
        <f>Table378[[#This Row],[w/ tie]]/Table378[[#This Row],[w/o tie]]</f>
        <v>7.3692498894590646</v>
      </c>
    </row>
    <row r="96" spans="2:6" x14ac:dyDescent="0.55000000000000004">
      <c r="B96">
        <v>15</v>
      </c>
      <c r="C96">
        <v>48887.718562874201</v>
      </c>
      <c r="D96">
        <v>6316.1047904191601</v>
      </c>
      <c r="F96">
        <f>Table378[[#This Row],[w/ tie]]/Table378[[#This Row],[w/o tie]]</f>
        <v>7.740169010025217</v>
      </c>
    </row>
    <row r="97" spans="2:12" x14ac:dyDescent="0.55000000000000004">
      <c r="B97">
        <v>16</v>
      </c>
      <c r="C97">
        <v>114525.52848101201</v>
      </c>
      <c r="D97">
        <v>11664.414556962</v>
      </c>
      <c r="F97">
        <f>Table378[[#This Row],[w/ tie]]/Table378[[#This Row],[w/o tie]]</f>
        <v>9.8183691879037784</v>
      </c>
    </row>
    <row r="98" spans="2:12" x14ac:dyDescent="0.55000000000000004">
      <c r="B98" t="s">
        <v>24</v>
      </c>
    </row>
    <row r="99" spans="2:12" x14ac:dyDescent="0.55000000000000004">
      <c r="B99" t="s">
        <v>0</v>
      </c>
      <c r="C99" t="s">
        <v>8</v>
      </c>
      <c r="D99" t="s">
        <v>9</v>
      </c>
      <c r="F99" t="s">
        <v>10</v>
      </c>
    </row>
    <row r="100" spans="2:12" x14ac:dyDescent="0.55000000000000004">
      <c r="B100">
        <v>8</v>
      </c>
      <c r="C100">
        <v>81.869897959183604</v>
      </c>
      <c r="D100">
        <v>37.903061224489797</v>
      </c>
      <c r="F100">
        <f>Table3789[[#This Row],[w/ tie]]/Table3789[[#This Row],[w/o tie]]</f>
        <v>2.1599811549333672</v>
      </c>
    </row>
    <row r="101" spans="2:12" x14ac:dyDescent="0.55000000000000004">
      <c r="B101">
        <v>9</v>
      </c>
      <c r="C101">
        <v>214.75849056603701</v>
      </c>
      <c r="D101">
        <v>69.928301886792397</v>
      </c>
      <c r="F101">
        <f>Table3789[[#This Row],[w/ tie]]/Table3789[[#This Row],[w/o tie]]</f>
        <v>3.0711240623819465</v>
      </c>
    </row>
    <row r="102" spans="2:12" x14ac:dyDescent="0.55000000000000004">
      <c r="B102">
        <v>10</v>
      </c>
      <c r="C102">
        <v>517.57342657342599</v>
      </c>
      <c r="D102">
        <v>153.895104895104</v>
      </c>
      <c r="F102">
        <f>Table3789[[#This Row],[w/ tie]]/Table3789[[#This Row],[w/o tie]]</f>
        <v>3.3631571772617961</v>
      </c>
    </row>
    <row r="103" spans="2:12" x14ac:dyDescent="0.55000000000000004">
      <c r="B103">
        <v>11</v>
      </c>
      <c r="C103">
        <v>1303.0517799352699</v>
      </c>
      <c r="D103">
        <v>339.28155339805801</v>
      </c>
      <c r="F103">
        <f>Table3789[[#This Row],[w/ tie]]/Table3789[[#This Row],[w/o tie]]</f>
        <v>3.8406207672790273</v>
      </c>
    </row>
    <row r="104" spans="2:12" x14ac:dyDescent="0.55000000000000004">
      <c r="B104">
        <v>12</v>
      </c>
      <c r="C104">
        <v>3033.04966887417</v>
      </c>
      <c r="D104">
        <v>598.03973509933701</v>
      </c>
      <c r="F104">
        <f>Table3789[[#This Row],[w/ tie]]/Table3789[[#This Row],[w/o tie]]</f>
        <v>5.0716524184975222</v>
      </c>
    </row>
    <row r="105" spans="2:12" x14ac:dyDescent="0.55000000000000004">
      <c r="B105">
        <v>13</v>
      </c>
      <c r="C105">
        <v>6724.5283018867904</v>
      </c>
      <c r="D105">
        <v>1151.7295597484199</v>
      </c>
      <c r="F105">
        <f>Table3789[[#This Row],[w/ tie]]/Table3789[[#This Row],[w/o tie]]</f>
        <v>5.8386348122867266</v>
      </c>
    </row>
    <row r="106" spans="2:12" x14ac:dyDescent="0.55000000000000004">
      <c r="B106">
        <v>14</v>
      </c>
      <c r="C106">
        <v>16397.174454828601</v>
      </c>
      <c r="D106">
        <v>2421.5451713395601</v>
      </c>
      <c r="F106">
        <f>Table3789[[#This Row],[w/ tie]]/Table3789[[#This Row],[w/o tie]]</f>
        <v>6.7713684010106432</v>
      </c>
      <c r="H106" s="1" t="s">
        <v>0</v>
      </c>
      <c r="I106" t="s">
        <v>26</v>
      </c>
      <c r="J106" t="s">
        <v>27</v>
      </c>
      <c r="K106" t="s">
        <v>28</v>
      </c>
      <c r="L106" t="s">
        <v>29</v>
      </c>
    </row>
    <row r="107" spans="2:12" x14ac:dyDescent="0.55000000000000004">
      <c r="B107">
        <v>15</v>
      </c>
      <c r="C107">
        <v>36390.120786516803</v>
      </c>
      <c r="D107">
        <v>4676.5983146067401</v>
      </c>
      <c r="F107">
        <f>Table3789[[#This Row],[w/ tie]]/Table3789[[#This Row],[w/o tie]]</f>
        <v>7.7813227347016412</v>
      </c>
      <c r="H107" s="2">
        <v>8</v>
      </c>
      <c r="I107">
        <v>1.9895818724580672</v>
      </c>
      <c r="J107">
        <v>2.1373194945848253</v>
      </c>
      <c r="K107">
        <v>2.1599811549333672</v>
      </c>
      <c r="L107">
        <v>2.4888337468982615</v>
      </c>
    </row>
    <row r="108" spans="2:12" x14ac:dyDescent="0.55000000000000004">
      <c r="B108">
        <v>16</v>
      </c>
      <c r="C108">
        <v>85033.379629629606</v>
      </c>
      <c r="D108">
        <v>9147.2962962962902</v>
      </c>
      <c r="F108">
        <f>Table3789[[#This Row],[w/ tie]]/Table3789[[#This Row],[w/o tie]]</f>
        <v>9.2960123817197591</v>
      </c>
      <c r="H108" s="3">
        <v>9</v>
      </c>
      <c r="I108">
        <v>2.7338450292397711</v>
      </c>
      <c r="J108">
        <v>2.7658155532237534</v>
      </c>
      <c r="K108">
        <v>3.0711240623819465</v>
      </c>
      <c r="L108">
        <v>2.7487091222030897</v>
      </c>
    </row>
    <row r="109" spans="2:12" x14ac:dyDescent="0.55000000000000004">
      <c r="B109" t="s">
        <v>25</v>
      </c>
      <c r="H109" s="2">
        <v>10</v>
      </c>
      <c r="I109">
        <v>3.2794573691298425</v>
      </c>
      <c r="J109">
        <v>3.358796776120863</v>
      </c>
      <c r="K109">
        <v>3.3631571772617961</v>
      </c>
      <c r="L109">
        <v>3.1355067985166913</v>
      </c>
    </row>
    <row r="110" spans="2:12" x14ac:dyDescent="0.55000000000000004">
      <c r="B110" t="s">
        <v>0</v>
      </c>
      <c r="C110" t="s">
        <v>8</v>
      </c>
      <c r="D110" t="s">
        <v>9</v>
      </c>
      <c r="F110" t="s">
        <v>10</v>
      </c>
      <c r="H110" s="3">
        <v>11</v>
      </c>
      <c r="I110">
        <v>3.9209912558029227</v>
      </c>
      <c r="J110">
        <v>3.9274917800944005</v>
      </c>
      <c r="K110">
        <v>3.8406207672790273</v>
      </c>
      <c r="L110">
        <v>3.6543784029038111</v>
      </c>
    </row>
    <row r="111" spans="2:12" x14ac:dyDescent="0.55000000000000004">
      <c r="B111">
        <v>8</v>
      </c>
      <c r="C111">
        <v>60.787878787878697</v>
      </c>
      <c r="D111">
        <v>24.424242424242401</v>
      </c>
      <c r="F111">
        <f>Table378910[[#This Row],[w/ tie]]/Table378910[[#This Row],[w/o tie]]</f>
        <v>2.4888337468982615</v>
      </c>
      <c r="H111" s="2">
        <v>12</v>
      </c>
      <c r="I111">
        <v>4.6389020130995169</v>
      </c>
      <c r="J111">
        <v>5.0227602190429961</v>
      </c>
      <c r="K111">
        <v>5.0716524184975222</v>
      </c>
      <c r="L111">
        <v>4.538031822036011</v>
      </c>
    </row>
    <row r="112" spans="2:12" x14ac:dyDescent="0.55000000000000004">
      <c r="B112">
        <v>9</v>
      </c>
      <c r="C112">
        <v>141.95555555555501</v>
      </c>
      <c r="D112">
        <v>51.644444444444403</v>
      </c>
      <c r="F112">
        <f>Table378910[[#This Row],[w/ tie]]/Table378910[[#This Row],[w/o tie]]</f>
        <v>2.7487091222030897</v>
      </c>
      <c r="H112" s="3">
        <v>13</v>
      </c>
      <c r="I112">
        <v>5.8325682940807138</v>
      </c>
      <c r="J112">
        <v>5.9477704909939186</v>
      </c>
      <c r="K112">
        <v>5.8386348122867266</v>
      </c>
      <c r="L112">
        <v>5.8053601475865086</v>
      </c>
    </row>
    <row r="113" spans="2:12" x14ac:dyDescent="0.55000000000000004">
      <c r="B113">
        <v>10</v>
      </c>
      <c r="C113">
        <v>368.963636363636</v>
      </c>
      <c r="D113">
        <v>117.672727272727</v>
      </c>
      <c r="F113">
        <f>Table378910[[#This Row],[w/ tie]]/Table378910[[#This Row],[w/o tie]]</f>
        <v>3.1355067985166913</v>
      </c>
      <c r="H113" s="2">
        <v>14</v>
      </c>
      <c r="I113">
        <v>6.7945974128765663</v>
      </c>
      <c r="J113">
        <v>7.3692498894590646</v>
      </c>
      <c r="K113">
        <v>6.7713684010106432</v>
      </c>
      <c r="L113">
        <v>6.4355783684066648</v>
      </c>
    </row>
    <row r="114" spans="2:12" x14ac:dyDescent="0.55000000000000004">
      <c r="B114">
        <v>11</v>
      </c>
      <c r="C114">
        <v>907.52112676056299</v>
      </c>
      <c r="D114">
        <v>248.338028169014</v>
      </c>
      <c r="F114">
        <f>Table378910[[#This Row],[w/ tie]]/Table378910[[#This Row],[w/o tie]]</f>
        <v>3.6543784029038111</v>
      </c>
      <c r="H114" s="3">
        <v>15</v>
      </c>
      <c r="I114">
        <v>8.531365260533148</v>
      </c>
      <c r="J114">
        <v>7.740169010025217</v>
      </c>
      <c r="K114">
        <v>7.7813227347016412</v>
      </c>
      <c r="L114">
        <v>6.8682998024822943</v>
      </c>
    </row>
    <row r="115" spans="2:12" x14ac:dyDescent="0.55000000000000004">
      <c r="B115">
        <v>12</v>
      </c>
      <c r="C115">
        <v>2091.5632183908001</v>
      </c>
      <c r="D115">
        <v>460.896551724137</v>
      </c>
      <c r="F115">
        <f>Table378910[[#This Row],[w/ tie]]/Table378910[[#This Row],[w/o tie]]</f>
        <v>4.538031822036011</v>
      </c>
      <c r="H115" s="2">
        <v>16</v>
      </c>
      <c r="I115">
        <v>11.251086342457169</v>
      </c>
      <c r="J115">
        <v>9.8183691879037784</v>
      </c>
      <c r="K115">
        <v>9.2960123817197591</v>
      </c>
      <c r="L115">
        <v>8.6552149047143292</v>
      </c>
    </row>
    <row r="116" spans="2:12" x14ac:dyDescent="0.55000000000000004">
      <c r="B116">
        <v>13</v>
      </c>
      <c r="C116">
        <v>5403.0377358490496</v>
      </c>
      <c r="D116">
        <v>930.69811320754695</v>
      </c>
      <c r="F116">
        <f>Table378910[[#This Row],[w/ tie]]/Table378910[[#This Row],[w/o tie]]</f>
        <v>5.8053601475865086</v>
      </c>
    </row>
    <row r="117" spans="2:12" x14ac:dyDescent="0.55000000000000004">
      <c r="B117">
        <v>14</v>
      </c>
      <c r="C117">
        <v>11592.753846153801</v>
      </c>
      <c r="D117">
        <v>1801.3538461538401</v>
      </c>
      <c r="F117">
        <f>Table378910[[#This Row],[w/ tie]]/Table378910[[#This Row],[w/o tie]]</f>
        <v>6.4355783684066648</v>
      </c>
    </row>
    <row r="118" spans="2:12" x14ac:dyDescent="0.55000000000000004">
      <c r="B118">
        <v>15</v>
      </c>
      <c r="C118">
        <v>27950.181818181802</v>
      </c>
      <c r="D118">
        <v>4069.44696969696</v>
      </c>
      <c r="F118">
        <f>Table378910[[#This Row],[w/ tie]]/Table378910[[#This Row],[w/o tie]]</f>
        <v>6.8682998024822943</v>
      </c>
    </row>
    <row r="119" spans="2:12" x14ac:dyDescent="0.55000000000000004">
      <c r="B119">
        <v>16</v>
      </c>
      <c r="C119">
        <v>60175.012195121897</v>
      </c>
      <c r="D119">
        <v>6952.4573170731701</v>
      </c>
      <c r="F119">
        <f>Table378910[[#This Row],[w/ tie]]/Table378910[[#This Row],[w/o tie]]</f>
        <v>8.6552149047143292</v>
      </c>
    </row>
  </sheetData>
  <pageMargins left="0.7" right="0.7" top="0.75" bottom="0.75" header="0.3" footer="0.3"/>
  <pageSetup orientation="portrait" r:id="rId1"/>
  <drawing r:id="rId2"/>
  <tableParts count="1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cflengthResults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D</dc:creator>
  <cp:lastModifiedBy>K D</cp:lastModifiedBy>
  <dcterms:created xsi:type="dcterms:W3CDTF">2026-04-21T09:10:25Z</dcterms:created>
  <dcterms:modified xsi:type="dcterms:W3CDTF">2026-05-11T00:47:01Z</dcterms:modified>
</cp:coreProperties>
</file>